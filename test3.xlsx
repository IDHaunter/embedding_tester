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C5F41B6-0053-46DE-A1FA-D30B770B0B2B}" xr6:coauthVersionLast="47" xr6:coauthVersionMax="47" xr10:uidLastSave="{00000000-0000-0000-0000-000000000000}"/>
  <bookViews>
    <workbookView xWindow="-108" yWindow="-108" windowWidth="23256" windowHeight="12456" xr2:uid="{6CB67CF0-501B-4C70-B20B-628F7EB1F102}"/>
  </bookViews>
  <sheets>
    <sheet name="180A_PO001" sheetId="1" r:id="rId1"/>
    <sheet name="Sheet2" sheetId="2" state="hidden" r:id="rId2"/>
  </sheets>
  <definedNames>
    <definedName name="_xlnm.Print_Area" localSheetId="0">'180A_PO001'!$A$1:$E$92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G15" i="1"/>
  <c r="G14" i="1"/>
  <c r="G13" i="1"/>
  <c r="G18" i="1"/>
  <c r="G77" i="1"/>
  <c r="G75" i="1"/>
  <c r="G72" i="1"/>
  <c r="G71" i="1"/>
  <c r="G70" i="1"/>
  <c r="G69" i="1"/>
  <c r="G66" i="1"/>
  <c r="G65" i="1"/>
  <c r="G64" i="1"/>
  <c r="G59" i="1"/>
  <c r="G58" i="1"/>
  <c r="G44" i="1"/>
  <c r="G38" i="1"/>
  <c r="G76" i="1"/>
  <c r="G62" i="1"/>
  <c r="G56" i="1"/>
  <c r="G54" i="1"/>
  <c r="G52" i="1"/>
  <c r="G50" i="1"/>
  <c r="G48" i="1"/>
  <c r="G42" i="1"/>
  <c r="G40" i="1"/>
  <c r="G36" i="1"/>
  <c r="G31" i="1"/>
  <c r="G30" i="1"/>
  <c r="G21" i="1"/>
  <c r="G22" i="1"/>
  <c r="G23" i="1"/>
  <c r="G24" i="1"/>
  <c r="G25" i="1"/>
  <c r="G26" i="1"/>
  <c r="G20" i="1"/>
  <c r="C18" i="1"/>
  <c r="G80" i="1" l="1"/>
  <c r="E40" i="1" l="1"/>
  <c r="E42" i="1"/>
  <c r="E54" i="1"/>
  <c r="E52" i="1"/>
  <c r="E50" i="1"/>
  <c r="E48" i="1"/>
  <c r="E56" i="1"/>
</calcChain>
</file>

<file path=xl/sharedStrings.xml><?xml version="1.0" encoding="utf-8"?>
<sst xmlns="http://schemas.openxmlformats.org/spreadsheetml/2006/main" count="117" uniqueCount="79">
  <si>
    <r>
      <t>RO Plant 1</t>
    </r>
    <r>
      <rPr>
        <b/>
        <vertAlign val="superscript"/>
        <sz val="20"/>
        <color rgb="FF000000"/>
        <rFont val="Calibri Light"/>
        <family val="2"/>
      </rPr>
      <t>st</t>
    </r>
    <r>
      <rPr>
        <b/>
        <sz val="20"/>
        <color rgb="FF000000"/>
        <rFont val="Calibri Light"/>
        <family val="2"/>
      </rPr>
      <t xml:space="preserve"> Line Maintenance Checklist</t>
    </r>
  </si>
  <si>
    <t>Version 2.0  21 - Nov - 2025</t>
  </si>
  <si>
    <t>Daily Maintenance Action Checklist</t>
  </si>
  <si>
    <r>
      <t>Equipment/Area: 1</t>
    </r>
    <r>
      <rPr>
        <b/>
        <vertAlign val="superscript"/>
        <sz val="12"/>
        <color rgb="FF365F91"/>
        <rFont val="Verdana"/>
        <family val="2"/>
      </rPr>
      <t>st</t>
    </r>
    <r>
      <rPr>
        <b/>
        <sz val="12"/>
        <color rgb="FF365F91"/>
        <rFont val="Verdana"/>
        <family val="2"/>
      </rPr>
      <t xml:space="preserve"> Pass High Pressure Pumps</t>
    </r>
  </si>
  <si>
    <t>180A_PO001</t>
  </si>
  <si>
    <t>Step No.</t>
  </si>
  <si>
    <t>Action</t>
  </si>
  <si>
    <t>Checklist Item</t>
  </si>
  <si>
    <t>Visual Inspection</t>
  </si>
  <si>
    <t>No water leakage from mechanical seal</t>
  </si>
  <si>
    <t>No leakage from suction/discharge flanges or couplings</t>
  </si>
  <si>
    <t>Pump casing, base frame &amp; fasteners intact (no cracks, corrosion)</t>
  </si>
  <si>
    <t>Motor–pump alignment visually normal (no shift of coupling guard)</t>
  </si>
  <si>
    <t>No salt deposits around mechanical seal or motor feet</t>
  </si>
  <si>
    <t>No rust streaks indicating early gasket/packing failure</t>
  </si>
  <si>
    <t>Area around pump clean &amp; accessible</t>
  </si>
  <si>
    <t>Noise Inspection</t>
  </si>
  <si>
    <t>No cavitation noise (crackling / popping)</t>
  </si>
  <si>
    <t>No grinding, rattling, or metallic contact</t>
  </si>
  <si>
    <t xml:space="preserve">Noise Level (dB): </t>
  </si>
  <si>
    <t>Thermal Check</t>
  </si>
  <si>
    <t>Pump casing temperature normal</t>
  </si>
  <si>
    <t>Pump Casing temperature (°C):</t>
  </si>
  <si>
    <r>
      <t xml:space="preserve">Acceptable Range: </t>
    </r>
    <r>
      <rPr>
        <i/>
        <sz val="10"/>
        <color theme="1"/>
        <rFont val="Verdana"/>
        <family val="2"/>
      </rPr>
      <t>Ambient + 20°C tot max 80°C</t>
    </r>
  </si>
  <si>
    <t>Bearing housing temperature normal</t>
  </si>
  <si>
    <t>Pump Bearing NDE temperature (°C):</t>
  </si>
  <si>
    <r>
      <t>(Max: 9</t>
    </r>
    <r>
      <rPr>
        <i/>
        <sz val="10"/>
        <color theme="1"/>
        <rFont val="Verdana"/>
        <family val="2"/>
      </rPr>
      <t>0°C</t>
    </r>
    <r>
      <rPr>
        <sz val="10"/>
        <color theme="1"/>
        <rFont val="Verdana"/>
        <family val="2"/>
      </rPr>
      <t>)</t>
    </r>
  </si>
  <si>
    <t>Pump Bearing DE temperature (°C):</t>
  </si>
  <si>
    <r>
      <t>(Max: 95</t>
    </r>
    <r>
      <rPr>
        <i/>
        <sz val="10"/>
        <color theme="1"/>
        <rFont val="Verdana"/>
        <family val="2"/>
      </rPr>
      <t>°C</t>
    </r>
    <r>
      <rPr>
        <sz val="10"/>
        <color theme="1"/>
        <rFont val="Verdana"/>
        <family val="2"/>
      </rPr>
      <t>)</t>
    </r>
  </si>
  <si>
    <t>No hotspots detected on pump casing</t>
  </si>
  <si>
    <t>Parameter Check</t>
  </si>
  <si>
    <t>Suction Pressure (bar):</t>
  </si>
  <si>
    <t>(Min.     1 (bar)     Max.    5 (bar)</t>
  </si>
  <si>
    <t>Discharge Pressure (bar):</t>
  </si>
  <si>
    <t>(Min.   50 (bar)     Max.  56 (bar)</t>
  </si>
  <si>
    <t>Flow Rate (m³/h):</t>
  </si>
  <si>
    <t>(Min. 275 (m³/h)  Max. 710 (m³/h))</t>
  </si>
  <si>
    <t xml:space="preserve">Pump speed (RPM) </t>
  </si>
  <si>
    <t>Min. 2950 (RPM)   Max. 3000 (RPM)</t>
  </si>
  <si>
    <t xml:space="preserve">Pump Capacity (kW)  </t>
  </si>
  <si>
    <t>Min. 480 (kW)       Max. 590 (kW)</t>
  </si>
  <si>
    <t>Stable pump operation (no oscillation or surge)</t>
  </si>
  <si>
    <t>No SCADA alarms (seal leakage, overload, low suction, vibration)</t>
  </si>
  <si>
    <t>Mechanical/Functional</t>
  </si>
  <si>
    <t>No abnormal vibration on pump</t>
  </si>
  <si>
    <r>
      <t xml:space="preserve">Vibration Level: </t>
    </r>
    <r>
      <rPr>
        <sz val="10"/>
        <color theme="1"/>
        <rFont val="Verdana"/>
        <family val="2"/>
      </rPr>
      <t>(Vrms ≤ 4.5 mm/s) according to ISO 20816-1 is acceptable in coupled-mode operation.</t>
    </r>
  </si>
  <si>
    <t>No visible wear/damage on coupling guard</t>
  </si>
  <si>
    <t>Flow stable, no sudden drops or spikes</t>
  </si>
  <si>
    <t>No backpressure shock or reverse flow tendency</t>
  </si>
  <si>
    <t>Electrical Check</t>
  </si>
  <si>
    <t>No loose conduit fittings / cable damage</t>
  </si>
  <si>
    <t>Motor cooling fan unobstructed</t>
  </si>
  <si>
    <t>Local transmitters functioning</t>
  </si>
  <si>
    <t>No overload or thermal alarms</t>
  </si>
  <si>
    <t>Record Observations</t>
  </si>
  <si>
    <t>Document any abnormal findings, trends or early warnings</t>
  </si>
  <si>
    <t>Log Hours</t>
  </si>
  <si>
    <t>Total Operating Hours. Take note from motor controller or logbook</t>
  </si>
  <si>
    <t>Inspection Date</t>
  </si>
  <si>
    <t>Shift</t>
  </si>
  <si>
    <t>180B_PO001</t>
  </si>
  <si>
    <t>180C_PO001</t>
  </si>
  <si>
    <t>180D_PO001</t>
  </si>
  <si>
    <t>Tag Number</t>
  </si>
  <si>
    <t>Functional Location</t>
  </si>
  <si>
    <t>Equipment</t>
  </si>
  <si>
    <t>Operator</t>
  </si>
  <si>
    <t>Result</t>
  </si>
  <si>
    <t>Value</t>
  </si>
  <si>
    <t>Create Notification</t>
  </si>
  <si>
    <t>Indicate whether a Notification should be creaed</t>
  </si>
  <si>
    <t>Tag ID</t>
  </si>
  <si>
    <t>Enter your notes below if any issues or observations need to be recorded.</t>
  </si>
  <si>
    <t>Pass</t>
  </si>
  <si>
    <t>Done</t>
  </si>
  <si>
    <t>Yes</t>
  </si>
  <si>
    <t>Day</t>
  </si>
  <si>
    <t>salavei</t>
  </si>
  <si>
    <t>no issuers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</si>
</sst>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3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  <scheme val="minor"/>
    </font>
    <font>
      <b/>
      <sz val="9"/>
      <color rgb="FF000000"/>
      <name val="Verdana"/>
      <family val="2"/>
    </font>
    <font>
      <b/>
      <sz val="20"/>
      <color rgb="FF000000"/>
      <name val="Calibri Light"/>
      <family val="2"/>
    </font>
    <font>
      <b/>
      <vertAlign val="superscript"/>
      <sz val="20"/>
      <color rgb="FF000000"/>
      <name val="Calibri Light"/>
      <family val="2"/>
    </font>
    <font>
      <sz val="8"/>
      <color rgb="FF000000"/>
      <name val="Verdana"/>
      <family val="2"/>
    </font>
    <font>
      <b/>
      <sz val="16"/>
      <color rgb="FF000000"/>
      <name val="Verdana"/>
      <family val="2"/>
    </font>
    <font>
      <b/>
      <sz val="12"/>
      <color rgb="FF365F91"/>
      <name val="Verdana"/>
      <family val="2"/>
    </font>
    <font>
      <b/>
      <vertAlign val="superscript"/>
      <sz val="12"/>
      <color rgb="FF365F91"/>
      <name val="Verdana"/>
      <family val="2"/>
    </font>
    <font>
      <b/>
      <sz val="10"/>
      <color rgb="FF365F91"/>
      <name val="Verdana"/>
      <family val="2"/>
    </font>
    <font>
      <sz val="10"/>
      <color rgb="FFFFFFFF"/>
      <name val="Verdana"/>
      <family val="2"/>
    </font>
    <font>
      <b/>
      <sz val="11"/>
      <color rgb="FF00B0F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i/>
      <sz val="10"/>
      <color theme="1"/>
      <name val="Verdana"/>
      <family val="2"/>
    </font>
    <font>
      <b/>
      <sz val="11"/>
      <color theme="1"/>
      <name val="Verdana"/>
      <family val="2"/>
    </font>
    <font>
      <b/>
      <sz val="11"/>
      <color rgb="FF000000"/>
      <name val="Verdana"/>
      <family val="2"/>
    </font>
    <font>
      <sz val="11"/>
      <color rgb="FF000000"/>
      <name val="Symbol"/>
      <family val="1"/>
      <charset val="2"/>
    </font>
    <font>
      <b/>
      <sz val="12"/>
      <color rgb="FF000000"/>
      <name val="Verdana"/>
      <family val="2"/>
    </font>
    <font>
      <sz val="11"/>
      <color theme="1" tint="0.34998626667073579"/>
      <name val="Calibri"/>
      <family val="2"/>
      <scheme val="minor"/>
    </font>
    <font>
      <b/>
      <sz val="14"/>
      <color rgb="FF000000"/>
      <name val="Yu Mincho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64" fontId="17" fillId="2" borderId="1" xfId="0" applyNumberFormat="1" applyFont="1" applyFill="1" applyBorder="1" applyProtection="1">
      <protection locked="0"/>
    </xf>
    <xf numFmtId="0" fontId="18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20" fillId="2" borderId="2" xfId="0" applyFont="1" applyFill="1" applyBorder="1" applyAlignment="1" applyProtection="1">
      <alignment horizontal="left" vertical="center" wrapText="1"/>
      <protection locked="0"/>
    </xf>
    <xf numFmtId="0" fontId="14" fillId="2" borderId="1" xfId="0" applyFont="1" applyFill="1" applyBorder="1" applyAlignment="1" applyProtection="1">
      <alignment vertical="center" wrapText="1"/>
      <protection locked="0"/>
    </xf>
    <xf numFmtId="0" fontId="14" fillId="2" borderId="3" xfId="0" applyFont="1" applyFill="1" applyBorder="1" applyAlignment="1" applyProtection="1">
      <alignment vertical="center" wrapText="1"/>
      <protection locked="0"/>
    </xf>
    <xf numFmtId="0" fontId="1" fillId="3" borderId="4" xfId="0" applyFont="1" applyFill="1" applyBorder="1" applyAlignment="1" applyProtection="1">
      <alignment vertical="center"/>
      <protection hidden="1"/>
    </xf>
    <xf numFmtId="0" fontId="2" fillId="3" borderId="5" xfId="0" applyFont="1" applyFill="1" applyBorder="1" applyProtection="1">
      <protection hidden="1"/>
    </xf>
    <xf numFmtId="0" fontId="2" fillId="3" borderId="6" xfId="0" applyFont="1" applyFill="1" applyBorder="1" applyProtection="1">
      <protection hidden="1"/>
    </xf>
    <xf numFmtId="0" fontId="0" fillId="4" borderId="0" xfId="0" applyFill="1" applyProtection="1">
      <protection hidden="1"/>
    </xf>
    <xf numFmtId="0" fontId="1" fillId="3" borderId="7" xfId="0" applyFont="1" applyFill="1" applyBorder="1" applyAlignment="1" applyProtection="1">
      <alignment vertical="center"/>
      <protection hidden="1"/>
    </xf>
    <xf numFmtId="0" fontId="2" fillId="3" borderId="0" xfId="0" applyFont="1" applyFill="1" applyProtection="1">
      <protection hidden="1"/>
    </xf>
    <xf numFmtId="0" fontId="2" fillId="3" borderId="8" xfId="0" applyFont="1" applyFill="1" applyBorder="1" applyProtection="1">
      <protection hidden="1"/>
    </xf>
    <xf numFmtId="0" fontId="3" fillId="3" borderId="7" xfId="0" applyFont="1" applyFill="1" applyBorder="1" applyAlignment="1" applyProtection="1">
      <alignment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3" borderId="8" xfId="0" applyFont="1" applyFill="1" applyBorder="1" applyAlignment="1" applyProtection="1">
      <alignment horizontal="left" vertical="center"/>
      <protection hidden="1"/>
    </xf>
    <xf numFmtId="0" fontId="2" fillId="3" borderId="7" xfId="0" applyFont="1" applyFill="1" applyBorder="1" applyProtection="1">
      <protection hidden="1"/>
    </xf>
    <xf numFmtId="0" fontId="7" fillId="3" borderId="7" xfId="0" applyFont="1" applyFill="1" applyBorder="1" applyAlignment="1" applyProtection="1">
      <alignment horizontal="left" vertical="center" wrapText="1"/>
      <protection hidden="1"/>
    </xf>
    <xf numFmtId="0" fontId="7" fillId="3" borderId="0" xfId="0" applyFont="1" applyFill="1" applyAlignment="1" applyProtection="1">
      <alignment horizontal="left" vertical="center" wrapText="1"/>
      <protection hidden="1"/>
    </xf>
    <xf numFmtId="0" fontId="7" fillId="3" borderId="8" xfId="0" applyFont="1" applyFill="1" applyBorder="1" applyAlignment="1" applyProtection="1">
      <alignment horizontal="left" vertical="center" wrapText="1"/>
      <protection hidden="1"/>
    </xf>
    <xf numFmtId="0" fontId="8" fillId="3" borderId="7" xfId="0" applyFont="1" applyFill="1" applyBorder="1" applyAlignment="1" applyProtection="1">
      <alignment horizontal="center" vertical="center" wrapText="1"/>
      <protection hidden="1"/>
    </xf>
    <xf numFmtId="0" fontId="8" fillId="3" borderId="0" xfId="0" applyFont="1" applyFill="1" applyAlignment="1" applyProtection="1">
      <alignment horizontal="center" vertical="center" wrapText="1"/>
      <protection hidden="1"/>
    </xf>
    <xf numFmtId="0" fontId="10" fillId="3" borderId="0" xfId="0" applyFont="1" applyFill="1" applyAlignment="1" applyProtection="1">
      <alignment horizontal="center" vertical="center" wrapText="1"/>
      <protection hidden="1"/>
    </xf>
    <xf numFmtId="0" fontId="10" fillId="3" borderId="8" xfId="0" applyFont="1" applyFill="1" applyBorder="1" applyAlignment="1" applyProtection="1">
      <alignment horizontal="center" vertical="center" wrapText="1"/>
      <protection hidden="1"/>
    </xf>
    <xf numFmtId="0" fontId="11" fillId="3" borderId="0" xfId="0" applyFont="1" applyFill="1" applyAlignment="1" applyProtection="1">
      <alignment horizontal="center" vertical="center" wrapText="1"/>
      <protection hidden="1"/>
    </xf>
    <xf numFmtId="0" fontId="11" fillId="3" borderId="8" xfId="0" applyFont="1" applyFill="1" applyBorder="1" applyAlignment="1" applyProtection="1">
      <alignment horizontal="center" vertical="center" wrapText="1"/>
      <protection hidden="1"/>
    </xf>
    <xf numFmtId="0" fontId="8" fillId="3" borderId="8" xfId="0" applyFont="1" applyFill="1" applyBorder="1" applyAlignment="1" applyProtection="1">
      <alignment horizontal="center" vertical="center" wrapText="1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12" fillId="3" borderId="8" xfId="0" applyFont="1" applyFill="1" applyBorder="1" applyAlignment="1" applyProtection="1">
      <alignment horizontal="center" vertical="center"/>
      <protection hidden="1"/>
    </xf>
    <xf numFmtId="0" fontId="13" fillId="3" borderId="4" xfId="0" applyFont="1" applyFill="1" applyBorder="1" applyAlignment="1" applyProtection="1">
      <alignment horizontal="center" vertical="center" wrapText="1"/>
      <protection hidden="1"/>
    </xf>
    <xf numFmtId="0" fontId="13" fillId="3" borderId="5" xfId="0" applyFont="1" applyFill="1" applyBorder="1" applyAlignment="1" applyProtection="1">
      <alignment vertical="center" wrapText="1"/>
      <protection hidden="1"/>
    </xf>
    <xf numFmtId="0" fontId="13" fillId="3" borderId="6" xfId="0" applyFont="1" applyFill="1" applyBorder="1" applyAlignment="1" applyProtection="1">
      <alignment vertical="center" wrapText="1"/>
      <protection hidden="1"/>
    </xf>
    <xf numFmtId="0" fontId="13" fillId="3" borderId="7" xfId="0" applyFont="1" applyFill="1" applyBorder="1" applyAlignment="1" applyProtection="1">
      <alignment horizontal="center" vertical="center" wrapText="1"/>
      <protection hidden="1"/>
    </xf>
    <xf numFmtId="0" fontId="14" fillId="3" borderId="0" xfId="0" applyFont="1" applyFill="1" applyAlignment="1" applyProtection="1">
      <alignment vertical="center" wrapText="1"/>
      <protection hidden="1"/>
    </xf>
    <xf numFmtId="0" fontId="0" fillId="3" borderId="7" xfId="0" applyFill="1" applyBorder="1" applyAlignment="1" applyProtection="1">
      <alignment horizontal="center" vertical="top" wrapText="1"/>
      <protection hidden="1"/>
    </xf>
    <xf numFmtId="0" fontId="0" fillId="3" borderId="0" xfId="0" applyFill="1" applyAlignment="1" applyProtection="1">
      <alignment vertical="top" wrapText="1"/>
      <protection hidden="1"/>
    </xf>
    <xf numFmtId="0" fontId="15" fillId="3" borderId="9" xfId="0" applyFont="1" applyFill="1" applyBorder="1" applyAlignment="1" applyProtection="1">
      <alignment horizontal="center" vertical="center"/>
      <protection hidden="1"/>
    </xf>
    <xf numFmtId="0" fontId="0" fillId="3" borderId="10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15" fillId="3" borderId="4" xfId="0" applyFont="1" applyFill="1" applyBorder="1" applyAlignment="1" applyProtection="1">
      <alignment horizontal="center" vertical="center"/>
      <protection hidden="1"/>
    </xf>
    <xf numFmtId="0" fontId="0" fillId="3" borderId="5" xfId="0" applyFill="1" applyBorder="1" applyProtection="1">
      <protection hidden="1"/>
    </xf>
    <xf numFmtId="0" fontId="0" fillId="3" borderId="6" xfId="0" applyFill="1" applyBorder="1" applyProtection="1">
      <protection hidden="1"/>
    </xf>
    <xf numFmtId="0" fontId="13" fillId="3" borderId="0" xfId="0" applyFont="1" applyFill="1" applyAlignment="1" applyProtection="1">
      <alignment vertical="center" wrapText="1"/>
      <protection hidden="1"/>
    </xf>
    <xf numFmtId="0" fontId="13" fillId="3" borderId="8" xfId="0" applyFont="1" applyFill="1" applyBorder="1" applyAlignment="1" applyProtection="1">
      <alignment vertical="center" wrapText="1"/>
      <protection hidden="1"/>
    </xf>
    <xf numFmtId="0" fontId="14" fillId="3" borderId="8" xfId="0" applyFont="1" applyFill="1" applyBorder="1" applyAlignment="1" applyProtection="1">
      <alignment vertical="center" wrapText="1"/>
      <protection hidden="1"/>
    </xf>
    <xf numFmtId="0" fontId="0" fillId="3" borderId="8" xfId="0" applyFill="1" applyBorder="1" applyAlignment="1" applyProtection="1">
      <alignment vertical="top" wrapText="1"/>
      <protection hidden="1"/>
    </xf>
    <xf numFmtId="0" fontId="15" fillId="3" borderId="7" xfId="0" applyFont="1" applyFill="1" applyBorder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0" fillId="3" borderId="8" xfId="0" applyFill="1" applyBorder="1" applyProtection="1">
      <protection hidden="1"/>
    </xf>
    <xf numFmtId="0" fontId="17" fillId="3" borderId="7" xfId="0" applyFont="1" applyFill="1" applyBorder="1" applyAlignment="1" applyProtection="1">
      <alignment horizontal="left"/>
      <protection hidden="1"/>
    </xf>
    <xf numFmtId="0" fontId="17" fillId="3" borderId="0" xfId="0" applyFont="1" applyFill="1" applyAlignment="1" applyProtection="1">
      <alignment horizontal="left" vertical="top" wrapText="1"/>
      <protection hidden="1"/>
    </xf>
    <xf numFmtId="0" fontId="17" fillId="3" borderId="8" xfId="0" applyFont="1" applyFill="1" applyBorder="1" applyAlignment="1" applyProtection="1">
      <alignment horizontal="left" vertical="top" wrapText="1"/>
      <protection hidden="1"/>
    </xf>
    <xf numFmtId="0" fontId="17" fillId="3" borderId="10" xfId="0" applyFont="1" applyFill="1" applyBorder="1" applyAlignment="1" applyProtection="1">
      <alignment horizontal="left" vertical="top" wrapText="1"/>
      <protection hidden="1"/>
    </xf>
    <xf numFmtId="0" fontId="17" fillId="3" borderId="11" xfId="0" applyFont="1" applyFill="1" applyBorder="1" applyAlignment="1" applyProtection="1">
      <alignment horizontal="left" vertical="top" wrapText="1"/>
      <protection hidden="1"/>
    </xf>
    <xf numFmtId="0" fontId="18" fillId="2" borderId="0" xfId="0" applyFont="1" applyFill="1" applyAlignment="1" applyProtection="1">
      <alignment horizontal="left" vertical="center" readingOrder="1"/>
      <protection hidden="1"/>
    </xf>
    <xf numFmtId="0" fontId="2" fillId="2" borderId="0" xfId="0" applyFont="1" applyFill="1" applyProtection="1">
      <protection hidden="1"/>
    </xf>
    <xf numFmtId="0" fontId="19" fillId="2" borderId="0" xfId="0" applyFont="1" applyFill="1" applyAlignment="1" applyProtection="1">
      <alignment horizontal="left" vertical="center" readingOrder="1"/>
      <protection hidden="1"/>
    </xf>
    <xf numFmtId="0" fontId="0" fillId="2" borderId="0" xfId="0" applyFill="1" applyProtection="1">
      <protection hidden="1"/>
    </xf>
    <xf numFmtId="0" fontId="19" fillId="4" borderId="0" xfId="0" applyFont="1" applyFill="1" applyAlignment="1" applyProtection="1">
      <alignment horizontal="left" vertical="center" readingOrder="1"/>
      <protection hidden="1"/>
    </xf>
    <xf numFmtId="0" fontId="15" fillId="4" borderId="0" xfId="0" applyFont="1" applyFill="1" applyAlignment="1" applyProtection="1">
      <alignment vertical="center"/>
      <protection hidden="1"/>
    </xf>
    <xf numFmtId="0" fontId="14" fillId="2" borderId="1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4" fillId="2" borderId="2" xfId="0" applyFont="1" applyFill="1" applyBorder="1" applyAlignment="1" applyProtection="1">
      <alignment vertical="center" wrapText="1"/>
      <protection locked="0"/>
    </xf>
    <xf numFmtId="0" fontId="21" fillId="4" borderId="0" xfId="0" applyFont="1" applyFill="1" applyProtection="1">
      <protection hidden="1"/>
    </xf>
    <xf numFmtId="0" fontId="4" fillId="3" borderId="7" xfId="0" applyFont="1" applyFill="1" applyBorder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6" fillId="3" borderId="7" xfId="0" applyFont="1" applyFill="1" applyBorder="1" applyAlignment="1" applyProtection="1">
      <alignment horizontal="left" vertical="center"/>
      <protection hidden="1"/>
    </xf>
    <xf numFmtId="0" fontId="6" fillId="3" borderId="0" xfId="0" applyFont="1" applyFill="1" applyAlignment="1" applyProtection="1">
      <alignment horizontal="left" vertical="center"/>
      <protection hidden="1"/>
    </xf>
    <xf numFmtId="0" fontId="7" fillId="3" borderId="7" xfId="0" applyFont="1" applyFill="1" applyBorder="1" applyAlignment="1" applyProtection="1">
      <alignment horizontal="left" vertical="center" wrapText="1"/>
      <protection hidden="1"/>
    </xf>
    <xf numFmtId="0" fontId="7" fillId="3" borderId="0" xfId="0" applyFont="1" applyFill="1" applyAlignment="1" applyProtection="1">
      <alignment horizontal="left" vertical="center" wrapText="1"/>
      <protection hidden="1"/>
    </xf>
    <xf numFmtId="0" fontId="8" fillId="3" borderId="7" xfId="0" applyFont="1" applyFill="1" applyBorder="1" applyAlignment="1" applyProtection="1">
      <alignment horizontal="center" vertical="center" wrapText="1"/>
      <protection hidden="1"/>
    </xf>
    <xf numFmtId="0" fontId="8" fillId="3" borderId="0" xfId="0" applyFont="1" applyFill="1" applyAlignment="1" applyProtection="1">
      <alignment horizontal="center" vertical="center" wrapText="1"/>
      <protection hidden="1"/>
    </xf>
    <xf numFmtId="0" fontId="11" fillId="3" borderId="0" xfId="0" applyFont="1" applyFill="1" applyAlignment="1" applyProtection="1">
      <alignment horizontal="center" vertical="center" wrapText="1"/>
      <protection hidden="1"/>
    </xf>
    <xf numFmtId="0" fontId="14" fillId="2" borderId="2" xfId="0" applyFont="1" applyFill="1" applyBorder="1" applyAlignment="1" applyProtection="1">
      <alignment horizontal="center" vertical="center" wrapText="1"/>
      <protection locked="0"/>
    </xf>
    <xf numFmtId="0" fontId="14" fillId="2" borderId="3" xfId="0" applyFont="1" applyFill="1" applyBorder="1" applyAlignment="1" applyProtection="1">
      <alignment horizontal="center" vertical="center" wrapText="1"/>
      <protection locked="0"/>
    </xf>
    <xf numFmtId="0" fontId="13" fillId="3" borderId="8" xfId="0" applyFont="1" applyFill="1" applyBorder="1" applyAlignment="1" applyProtection="1">
      <alignment horizontal="center" vertical="center" wrapText="1"/>
      <protection hidden="1"/>
    </xf>
    <xf numFmtId="0" fontId="13" fillId="3" borderId="7" xfId="0" applyFont="1" applyFill="1" applyBorder="1" applyAlignment="1" applyProtection="1">
      <alignment horizontal="center" vertical="center" wrapText="1"/>
      <protection hidden="1"/>
    </xf>
    <xf numFmtId="0" fontId="14" fillId="3" borderId="0" xfId="0" applyFont="1" applyFill="1" applyAlignment="1" applyProtection="1">
      <alignment vertical="center" wrapText="1"/>
      <protection hidden="1"/>
    </xf>
    <xf numFmtId="0" fontId="0" fillId="3" borderId="7" xfId="0" applyFill="1" applyBorder="1" applyAlignment="1" applyProtection="1">
      <alignment horizontal="center" vertical="top" wrapText="1"/>
      <protection hidden="1"/>
    </xf>
    <xf numFmtId="0" fontId="0" fillId="3" borderId="0" xfId="0" applyFill="1" applyAlignment="1" applyProtection="1">
      <alignment vertical="top" wrapText="1"/>
      <protection hidden="1"/>
    </xf>
    <xf numFmtId="0" fontId="14" fillId="3" borderId="8" xfId="0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 applyProtection="1">
      <alignment horizontal="left" vertical="top" wrapText="1"/>
      <protection locked="0"/>
    </xf>
    <xf numFmtId="0" fontId="17" fillId="2" borderId="5" xfId="0" applyFont="1" applyFill="1" applyBorder="1" applyAlignment="1" applyProtection="1">
      <alignment horizontal="left" vertical="top" wrapText="1"/>
      <protection locked="0"/>
    </xf>
    <xf numFmtId="0" fontId="17" fillId="2" borderId="6" xfId="0" applyFont="1" applyFill="1" applyBorder="1" applyAlignment="1" applyProtection="1">
      <alignment horizontal="left" vertical="top" wrapText="1"/>
      <protection locked="0"/>
    </xf>
    <xf numFmtId="0" fontId="17" fillId="2" borderId="7" xfId="0" applyFont="1" applyFill="1" applyBorder="1" applyAlignment="1" applyProtection="1">
      <alignment horizontal="left" vertical="top" wrapText="1"/>
      <protection locked="0"/>
    </xf>
    <xf numFmtId="0" fontId="17" fillId="2" borderId="0" xfId="0" applyFont="1" applyFill="1" applyAlignment="1" applyProtection="1">
      <alignment horizontal="left" vertical="top" wrapText="1"/>
      <protection locked="0"/>
    </xf>
    <xf numFmtId="0" fontId="17" fillId="2" borderId="8" xfId="0" applyFont="1" applyFill="1" applyBorder="1" applyAlignment="1" applyProtection="1">
      <alignment horizontal="left" vertical="top" wrapText="1"/>
      <protection locked="0"/>
    </xf>
    <xf numFmtId="0" fontId="17" fillId="2" borderId="9" xfId="0" applyFont="1" applyFill="1" applyBorder="1" applyAlignment="1" applyProtection="1">
      <alignment horizontal="left" vertical="top" wrapText="1"/>
      <protection locked="0"/>
    </xf>
    <xf numFmtId="0" fontId="17" fillId="2" borderId="10" xfId="0" applyFont="1" applyFill="1" applyBorder="1" applyAlignment="1" applyProtection="1">
      <alignment horizontal="left" vertical="top" wrapText="1"/>
      <protection locked="0"/>
    </xf>
    <xf numFmtId="0" fontId="17" fillId="2" borderId="11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38100</xdr:rowOff>
    </xdr:from>
    <xdr:to>
      <xdr:col>0</xdr:col>
      <xdr:colOff>1788795</xdr:colOff>
      <xdr:row>4</xdr:row>
      <xdr:rowOff>73025</xdr:rowOff>
    </xdr:to>
    <xdr:pic>
      <xdr:nvPicPr>
        <xdr:cNvPr id="2" name="Picture 1" descr="A logo with a blue and yellow design&#10;&#10;Description automatically generated">
          <a:extLst>
            <a:ext uri="{FF2B5EF4-FFF2-40B4-BE49-F238E27FC236}">
              <a16:creationId xmlns:a16="http://schemas.microsoft.com/office/drawing/2014/main" id="{42805375-F482-450E-812A-CE751503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8100"/>
          <a:ext cx="1503045" cy="753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285750</xdr:colOff>
      <xdr:row>0</xdr:row>
      <xdr:rowOff>38100</xdr:rowOff>
    </xdr:from>
    <xdr:to>
      <xdr:col>0</xdr:col>
      <xdr:colOff>1788795</xdr:colOff>
      <xdr:row>4</xdr:row>
      <xdr:rowOff>73025</xdr:rowOff>
    </xdr:to>
    <xdr:pic>
      <xdr:nvPicPr>
        <xdr:cNvPr id="3" name="Picture 2" descr="A logo with a blue and yellow design&#10;&#10;Description automatically generated">
          <a:extLst>
            <a:ext uri="{FF2B5EF4-FFF2-40B4-BE49-F238E27FC236}">
              <a16:creationId xmlns:a16="http://schemas.microsoft.com/office/drawing/2014/main" id="{0AD9EFB9-27C9-40D9-B303-F0408D49A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8100"/>
          <a:ext cx="1503045" cy="753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285750</xdr:colOff>
      <xdr:row>0</xdr:row>
      <xdr:rowOff>38100</xdr:rowOff>
    </xdr:from>
    <xdr:to>
      <xdr:col>0</xdr:col>
      <xdr:colOff>1788795</xdr:colOff>
      <xdr:row>4</xdr:row>
      <xdr:rowOff>73025</xdr:rowOff>
    </xdr:to>
    <xdr:pic>
      <xdr:nvPicPr>
        <xdr:cNvPr id="4" name="Picture 3" descr="A logo with a blue and yellow design&#10;&#10;Description automatically generated">
          <a:extLst>
            <a:ext uri="{FF2B5EF4-FFF2-40B4-BE49-F238E27FC236}">
              <a16:creationId xmlns:a16="http://schemas.microsoft.com/office/drawing/2014/main" id="{8244DDDF-3E87-4840-881F-AC183D1F6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8100"/>
          <a:ext cx="1503045" cy="753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281940</xdr:colOff>
      <xdr:row>0</xdr:row>
      <xdr:rowOff>38100</xdr:rowOff>
    </xdr:from>
    <xdr:to>
      <xdr:col>0</xdr:col>
      <xdr:colOff>2434590</xdr:colOff>
      <xdr:row>4</xdr:row>
      <xdr:rowOff>71120</xdr:rowOff>
    </xdr:to>
    <xdr:pic>
      <xdr:nvPicPr>
        <xdr:cNvPr id="5" name="Picture 4" descr="A logo with a blue and yellow design&#10;&#10;Description automatically generated">
          <a:extLst>
            <a:ext uri="{FF2B5EF4-FFF2-40B4-BE49-F238E27FC236}">
              <a16:creationId xmlns:a16="http://schemas.microsoft.com/office/drawing/2014/main" id="{58CA0D9C-7935-4184-BF82-72ACB771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38100"/>
          <a:ext cx="2137410" cy="74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2430780</xdr:colOff>
          <xdr:row>93</xdr:row>
          <xdr:rowOff>182880</xdr:rowOff>
        </xdr:from>
        <xdr:to>
          <xdr:col>1</xdr:col>
          <xdr:colOff>1638300</xdr:colOff>
          <xdr:row>95</xdr:row>
          <xdr:rowOff>175260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ru-BY" sz="1400" b="1" i="0" u="none" strike="noStrike" baseline="0">
                  <a:solidFill>
                    <a:srgbClr val="000000"/>
                  </a:solidFill>
                  <a:latin typeface="Yu Mincho"/>
                  <a:ea typeface="Yu Mincho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F132-7485-44A5-A02F-2A3554B8C842}">
  <sheetPr codeName="Sheet15">
    <tabColor rgb="FF00B0F0"/>
  </sheetPr>
  <dimension ref="A1:G101"/>
  <sheetViews>
    <sheetView tabSelected="1" topLeftCell="A5" zoomScale="85" zoomScaleNormal="85" workbookViewId="0">
      <pane xSplit="3" topLeftCell="D1" activePane="topRight" state="frozen"/>
      <selection pane="topRight" activeCell="A18" sqref="A18"/>
    </sheetView>
  </sheetViews>
  <sheetFormatPr defaultColWidth="9.109375" defaultRowHeight="14.4" x14ac:dyDescent="0.3"/>
  <cols>
    <col min="1" max="1" width="38.109375" style="10" customWidth="1"/>
    <col min="2" max="2" width="28.109375" style="10" customWidth="1"/>
    <col min="3" max="3" width="52.109375" style="10" customWidth="1"/>
    <col min="4" max="4" width="9.33203125" style="10" customWidth="1"/>
    <col min="5" max="5" width="7.6640625" style="10" bestFit="1" customWidth="1"/>
    <col min="6" max="6" width="9.109375" style="10"/>
    <col min="7" max="7" width="9.109375" style="64"/>
    <col min="8" max="16384" width="9.109375" style="10"/>
  </cols>
  <sheetData>
    <row r="1" spans="1:7" x14ac:dyDescent="0.3">
      <c r="A1" s="7"/>
      <c r="B1" s="8"/>
      <c r="C1" s="8"/>
      <c r="D1" s="8"/>
      <c r="E1" s="9"/>
    </row>
    <row r="2" spans="1:7" x14ac:dyDescent="0.3">
      <c r="A2" s="11"/>
      <c r="B2" s="12"/>
      <c r="C2" s="12"/>
      <c r="D2" s="12"/>
      <c r="E2" s="13"/>
    </row>
    <row r="3" spans="1:7" x14ac:dyDescent="0.3">
      <c r="A3" s="11"/>
      <c r="B3" s="12"/>
      <c r="C3" s="12"/>
      <c r="D3" s="12"/>
      <c r="E3" s="13"/>
    </row>
    <row r="4" spans="1:7" x14ac:dyDescent="0.3">
      <c r="A4" s="11"/>
      <c r="B4" s="12"/>
      <c r="C4" s="12"/>
      <c r="D4" s="12"/>
      <c r="E4" s="13"/>
    </row>
    <row r="5" spans="1:7" x14ac:dyDescent="0.3">
      <c r="A5" s="14"/>
      <c r="B5" s="12"/>
      <c r="C5" s="12"/>
      <c r="D5" s="12"/>
      <c r="E5" s="13"/>
    </row>
    <row r="6" spans="1:7" ht="25.8" x14ac:dyDescent="0.3">
      <c r="A6" s="65" t="s">
        <v>0</v>
      </c>
      <c r="B6" s="66"/>
      <c r="C6" s="66"/>
      <c r="D6" s="15"/>
      <c r="E6" s="16"/>
    </row>
    <row r="7" spans="1:7" ht="25.8" x14ac:dyDescent="0.3">
      <c r="A7" s="65"/>
      <c r="B7" s="66"/>
      <c r="C7" s="66"/>
      <c r="D7" s="15"/>
      <c r="E7" s="16"/>
    </row>
    <row r="8" spans="1:7" x14ac:dyDescent="0.3">
      <c r="A8" s="67" t="s">
        <v>1</v>
      </c>
      <c r="B8" s="68"/>
      <c r="C8" s="12"/>
      <c r="D8" s="12"/>
      <c r="E8" s="13"/>
    </row>
    <row r="9" spans="1:7" x14ac:dyDescent="0.3">
      <c r="A9" s="17"/>
      <c r="B9" s="12"/>
      <c r="C9" s="12"/>
      <c r="D9" s="12"/>
      <c r="E9" s="13"/>
    </row>
    <row r="10" spans="1:7" ht="19.8" x14ac:dyDescent="0.3">
      <c r="A10" s="69" t="s">
        <v>2</v>
      </c>
      <c r="B10" s="70"/>
      <c r="C10" s="70"/>
      <c r="D10" s="19"/>
      <c r="E10" s="20"/>
    </row>
    <row r="11" spans="1:7" ht="19.8" x14ac:dyDescent="0.3">
      <c r="A11" s="18"/>
      <c r="B11" s="19"/>
      <c r="C11" s="19"/>
      <c r="D11" s="19"/>
      <c r="E11" s="20"/>
    </row>
    <row r="12" spans="1:7" ht="20.399999999999999" thickBot="1" x14ac:dyDescent="0.35">
      <c r="A12" s="18" t="s">
        <v>58</v>
      </c>
      <c r="B12" s="19" t="s">
        <v>59</v>
      </c>
      <c r="C12" s="19" t="s">
        <v>66</v>
      </c>
      <c r="D12" s="19"/>
      <c r="E12" s="20"/>
    </row>
    <row r="13" spans="1:7" ht="20.399999999999999" thickBot="1" x14ac:dyDescent="0.35">
      <c r="A13" s="1">
        <v>46023</v>
      </c>
      <c r="B13" s="2" t="s">
        <v>76</v>
      </c>
      <c r="C13" s="3" t="s">
        <v>77</v>
      </c>
      <c r="D13" s="19"/>
      <c r="E13" s="20"/>
      <c r="G13" s="64">
        <f>IF(A13&lt;&gt;"",1,"")</f>
        <v>1</v>
      </c>
    </row>
    <row r="14" spans="1:7" ht="26.4" customHeight="1" x14ac:dyDescent="0.3">
      <c r="A14" s="71" t="s">
        <v>3</v>
      </c>
      <c r="B14" s="72"/>
      <c r="C14" s="23"/>
      <c r="D14" s="23"/>
      <c r="E14" s="24"/>
      <c r="G14" s="64">
        <f>IF(B13&lt;&gt;"",1,"")</f>
        <v>1</v>
      </c>
    </row>
    <row r="15" spans="1:7" x14ac:dyDescent="0.3">
      <c r="A15" s="71"/>
      <c r="B15" s="72"/>
      <c r="C15" s="73"/>
      <c r="D15" s="25"/>
      <c r="E15" s="26"/>
      <c r="G15" s="64">
        <f>IF(C13&lt;&gt;"",1,"")</f>
        <v>1</v>
      </c>
    </row>
    <row r="16" spans="1:7" ht="33.6" customHeight="1" x14ac:dyDescent="0.3">
      <c r="A16" s="71"/>
      <c r="B16" s="72"/>
      <c r="C16" s="73"/>
      <c r="D16" s="25"/>
      <c r="E16" s="26"/>
    </row>
    <row r="17" spans="1:7" ht="33.6" customHeight="1" thickBot="1" x14ac:dyDescent="0.35">
      <c r="A17" s="21" t="s">
        <v>63</v>
      </c>
      <c r="B17" s="22" t="s">
        <v>64</v>
      </c>
      <c r="C17" s="22" t="s">
        <v>65</v>
      </c>
      <c r="D17" s="22"/>
      <c r="E17" s="27"/>
    </row>
    <row r="18" spans="1:7" ht="16.8" thickBot="1" x14ac:dyDescent="0.35">
      <c r="A18" s="4" t="s">
        <v>60</v>
      </c>
      <c r="B18" s="28"/>
      <c r="C18" s="28">
        <f>_xlfn.IFNA(VLOOKUP(A18,Sheet2!B:D,3,FALSE),"")</f>
        <v>160000047</v>
      </c>
      <c r="D18" s="28"/>
      <c r="E18" s="29"/>
      <c r="G18" s="64">
        <f>IF(A18&lt;&gt;"",1,"")</f>
        <v>1</v>
      </c>
    </row>
    <row r="19" spans="1:7" ht="15" thickBot="1" x14ac:dyDescent="0.35">
      <c r="A19" s="30" t="s">
        <v>5</v>
      </c>
      <c r="B19" s="31" t="s">
        <v>6</v>
      </c>
      <c r="C19" s="31" t="s">
        <v>7</v>
      </c>
      <c r="D19" s="31" t="s">
        <v>68</v>
      </c>
      <c r="E19" s="32" t="s">
        <v>67</v>
      </c>
    </row>
    <row r="20" spans="1:7" ht="15" thickBot="1" x14ac:dyDescent="0.35">
      <c r="A20" s="33">
        <v>1</v>
      </c>
      <c r="B20" s="34" t="s">
        <v>8</v>
      </c>
      <c r="C20" s="34" t="s">
        <v>9</v>
      </c>
      <c r="D20" s="34"/>
      <c r="E20" s="5" t="s">
        <v>73</v>
      </c>
      <c r="G20" s="64">
        <f>IF(E20&lt;&gt;"",1,"")</f>
        <v>1</v>
      </c>
    </row>
    <row r="21" spans="1:7" ht="25.8" thickBot="1" x14ac:dyDescent="0.35">
      <c r="A21" s="35"/>
      <c r="B21" s="36"/>
      <c r="C21" s="34" t="s">
        <v>10</v>
      </c>
      <c r="D21" s="34"/>
      <c r="E21" s="5" t="s">
        <v>73</v>
      </c>
      <c r="G21" s="64">
        <f t="shared" ref="G21:G26" si="0">IF(E21&lt;&gt;"",1,"")</f>
        <v>1</v>
      </c>
    </row>
    <row r="22" spans="1:7" ht="25.8" thickBot="1" x14ac:dyDescent="0.35">
      <c r="A22" s="35"/>
      <c r="B22" s="36"/>
      <c r="C22" s="34" t="s">
        <v>11</v>
      </c>
      <c r="D22" s="34"/>
      <c r="E22" s="5" t="s">
        <v>73</v>
      </c>
      <c r="G22" s="64">
        <f t="shared" si="0"/>
        <v>1</v>
      </c>
    </row>
    <row r="23" spans="1:7" ht="25.8" thickBot="1" x14ac:dyDescent="0.35">
      <c r="A23" s="35"/>
      <c r="B23" s="36"/>
      <c r="C23" s="34" t="s">
        <v>12</v>
      </c>
      <c r="D23" s="34"/>
      <c r="E23" s="5" t="s">
        <v>73</v>
      </c>
      <c r="G23" s="64">
        <f t="shared" si="0"/>
        <v>1</v>
      </c>
    </row>
    <row r="24" spans="1:7" ht="25.8" thickBot="1" x14ac:dyDescent="0.35">
      <c r="A24" s="35"/>
      <c r="B24" s="36"/>
      <c r="C24" s="34" t="s">
        <v>13</v>
      </c>
      <c r="D24" s="34"/>
      <c r="E24" s="5" t="s">
        <v>73</v>
      </c>
      <c r="G24" s="64">
        <f t="shared" si="0"/>
        <v>1</v>
      </c>
    </row>
    <row r="25" spans="1:7" ht="25.8" thickBot="1" x14ac:dyDescent="0.35">
      <c r="A25" s="35"/>
      <c r="B25" s="36"/>
      <c r="C25" s="34" t="s">
        <v>14</v>
      </c>
      <c r="D25" s="34"/>
      <c r="E25" s="5" t="s">
        <v>73</v>
      </c>
      <c r="G25" s="64">
        <f t="shared" si="0"/>
        <v>1</v>
      </c>
    </row>
    <row r="26" spans="1:7" ht="15" thickBot="1" x14ac:dyDescent="0.35">
      <c r="A26" s="35"/>
      <c r="B26" s="36"/>
      <c r="C26" s="34" t="s">
        <v>15</v>
      </c>
      <c r="D26" s="34"/>
      <c r="E26" s="5" t="s">
        <v>73</v>
      </c>
      <c r="G26" s="64">
        <f t="shared" si="0"/>
        <v>1</v>
      </c>
    </row>
    <row r="27" spans="1:7" ht="15" thickBot="1" x14ac:dyDescent="0.35">
      <c r="A27" s="37"/>
      <c r="B27" s="38"/>
      <c r="C27" s="38"/>
      <c r="D27" s="38"/>
      <c r="E27" s="39"/>
    </row>
    <row r="28" spans="1:7" x14ac:dyDescent="0.3">
      <c r="A28" s="40"/>
      <c r="B28" s="41"/>
      <c r="C28" s="41"/>
      <c r="D28" s="41"/>
      <c r="E28" s="42"/>
    </row>
    <row r="29" spans="1:7" ht="15" thickBot="1" x14ac:dyDescent="0.35">
      <c r="A29" s="33" t="s">
        <v>5</v>
      </c>
      <c r="B29" s="43" t="s">
        <v>6</v>
      </c>
      <c r="C29" s="43" t="s">
        <v>7</v>
      </c>
      <c r="D29" s="43"/>
      <c r="E29" s="44"/>
    </row>
    <row r="30" spans="1:7" ht="15" thickBot="1" x14ac:dyDescent="0.35">
      <c r="A30" s="33">
        <v>2</v>
      </c>
      <c r="B30" s="34" t="s">
        <v>16</v>
      </c>
      <c r="C30" s="34" t="s">
        <v>17</v>
      </c>
      <c r="D30" s="34"/>
      <c r="E30" s="5" t="s">
        <v>73</v>
      </c>
      <c r="G30" s="64">
        <f t="shared" ref="G30:G31" si="1">IF(E30&lt;&gt;"",1,"")</f>
        <v>1</v>
      </c>
    </row>
    <row r="31" spans="1:7" ht="15" thickBot="1" x14ac:dyDescent="0.35">
      <c r="A31" s="33"/>
      <c r="B31" s="34"/>
      <c r="C31" s="34" t="s">
        <v>18</v>
      </c>
      <c r="D31" s="34"/>
      <c r="E31" s="6" t="s">
        <v>73</v>
      </c>
      <c r="G31" s="64">
        <f t="shared" si="1"/>
        <v>1</v>
      </c>
    </row>
    <row r="32" spans="1:7" x14ac:dyDescent="0.3">
      <c r="A32" s="35"/>
      <c r="B32" s="36"/>
      <c r="C32" s="34" t="s">
        <v>19</v>
      </c>
      <c r="D32" s="34"/>
      <c r="E32" s="45"/>
    </row>
    <row r="33" spans="1:7" ht="15" thickBot="1" x14ac:dyDescent="0.35">
      <c r="A33" s="37"/>
      <c r="B33" s="38"/>
      <c r="C33" s="38"/>
      <c r="D33" s="38"/>
      <c r="E33" s="39"/>
    </row>
    <row r="34" spans="1:7" x14ac:dyDescent="0.3">
      <c r="A34" s="30" t="s">
        <v>5</v>
      </c>
      <c r="B34" s="31" t="s">
        <v>6</v>
      </c>
      <c r="C34" s="31" t="s">
        <v>7</v>
      </c>
      <c r="D34" s="31"/>
      <c r="E34" s="32"/>
    </row>
    <row r="35" spans="1:7" ht="15" thickBot="1" x14ac:dyDescent="0.35">
      <c r="A35" s="33">
        <v>3</v>
      </c>
      <c r="B35" s="34" t="s">
        <v>20</v>
      </c>
      <c r="C35" s="34" t="s">
        <v>21</v>
      </c>
      <c r="D35" s="34"/>
      <c r="E35" s="45"/>
    </row>
    <row r="36" spans="1:7" ht="14.4" customHeight="1" x14ac:dyDescent="0.3">
      <c r="A36" s="77"/>
      <c r="B36" s="78"/>
      <c r="C36" s="34" t="s">
        <v>22</v>
      </c>
      <c r="D36" s="74">
        <v>33</v>
      </c>
      <c r="E36" s="76" t="str">
        <f>IF(D36="","",IF(AND(D36&gt;=20,D36&lt;=50),"Pass","Fail"))</f>
        <v>Pass</v>
      </c>
      <c r="G36" s="64">
        <f>IF(D36&lt;&gt;"",1,"")</f>
        <v>1</v>
      </c>
    </row>
    <row r="37" spans="1:7" ht="15" customHeight="1" thickBot="1" x14ac:dyDescent="0.35">
      <c r="A37" s="77"/>
      <c r="B37" s="78"/>
      <c r="C37" s="34" t="s">
        <v>23</v>
      </c>
      <c r="D37" s="75"/>
      <c r="E37" s="76"/>
    </row>
    <row r="38" spans="1:7" ht="15" thickBot="1" x14ac:dyDescent="0.35">
      <c r="A38" s="35"/>
      <c r="B38" s="36"/>
      <c r="C38" s="34" t="s">
        <v>24</v>
      </c>
      <c r="D38" s="34"/>
      <c r="E38" s="5" t="s">
        <v>73</v>
      </c>
      <c r="G38" s="64">
        <f>IF(E38&lt;&gt;"",1,"")</f>
        <v>1</v>
      </c>
    </row>
    <row r="39" spans="1:7" ht="15" thickBot="1" x14ac:dyDescent="0.35">
      <c r="A39" s="35"/>
      <c r="B39" s="36"/>
      <c r="C39" s="36"/>
      <c r="D39" s="36"/>
      <c r="E39" s="46"/>
    </row>
    <row r="40" spans="1:7" x14ac:dyDescent="0.3">
      <c r="A40" s="79"/>
      <c r="B40" s="80"/>
      <c r="C40" s="34" t="s">
        <v>25</v>
      </c>
      <c r="D40" s="74">
        <v>86</v>
      </c>
      <c r="E40" s="81" t="str">
        <f>IF(D40="","",(IF(D40&gt;90,"Fail","Pass")))</f>
        <v>Pass</v>
      </c>
      <c r="G40" s="64">
        <f>IF(D40&lt;&gt;"",1,"")</f>
        <v>1</v>
      </c>
    </row>
    <row r="41" spans="1:7" ht="15" thickBot="1" x14ac:dyDescent="0.35">
      <c r="A41" s="79"/>
      <c r="B41" s="80"/>
      <c r="C41" s="34" t="s">
        <v>26</v>
      </c>
      <c r="D41" s="75"/>
      <c r="E41" s="81"/>
    </row>
    <row r="42" spans="1:7" x14ac:dyDescent="0.3">
      <c r="A42" s="77"/>
      <c r="B42" s="78"/>
      <c r="C42" s="34" t="s">
        <v>27</v>
      </c>
      <c r="D42" s="74">
        <v>87</v>
      </c>
      <c r="E42" s="81" t="str">
        <f>IF(D42="","",(IF(D42&gt;95,"Fail","Pass")))</f>
        <v>Pass</v>
      </c>
      <c r="G42" s="64">
        <f>IF(D42&lt;&gt;"",1,"")</f>
        <v>1</v>
      </c>
    </row>
    <row r="43" spans="1:7" ht="15" customHeight="1" thickBot="1" x14ac:dyDescent="0.35">
      <c r="A43" s="77"/>
      <c r="B43" s="78"/>
      <c r="C43" s="34" t="s">
        <v>28</v>
      </c>
      <c r="D43" s="75"/>
      <c r="E43" s="81"/>
    </row>
    <row r="44" spans="1:7" ht="15" thickBot="1" x14ac:dyDescent="0.35">
      <c r="A44" s="35"/>
      <c r="B44" s="36"/>
      <c r="C44" s="34" t="s">
        <v>29</v>
      </c>
      <c r="D44" s="34"/>
      <c r="E44" s="5" t="s">
        <v>73</v>
      </c>
      <c r="G44" s="64">
        <f>IF(E44&lt;&gt;"",1,"")</f>
        <v>1</v>
      </c>
    </row>
    <row r="45" spans="1:7" ht="15" thickBot="1" x14ac:dyDescent="0.35">
      <c r="A45" s="37"/>
      <c r="B45" s="38"/>
      <c r="C45" s="38"/>
      <c r="D45" s="38"/>
      <c r="E45" s="39"/>
    </row>
    <row r="46" spans="1:7" x14ac:dyDescent="0.3">
      <c r="A46" s="30" t="s">
        <v>5</v>
      </c>
      <c r="B46" s="31" t="s">
        <v>6</v>
      </c>
      <c r="C46" s="31" t="s">
        <v>7</v>
      </c>
      <c r="D46" s="31"/>
      <c r="E46" s="32"/>
    </row>
    <row r="47" spans="1:7" ht="15" thickBot="1" x14ac:dyDescent="0.35">
      <c r="A47" s="33"/>
      <c r="B47" s="43"/>
      <c r="C47" s="43"/>
      <c r="D47" s="43"/>
      <c r="E47" s="44"/>
    </row>
    <row r="48" spans="1:7" ht="15" customHeight="1" thickBot="1" x14ac:dyDescent="0.35">
      <c r="A48" s="77">
        <v>4</v>
      </c>
      <c r="B48" s="78" t="s">
        <v>30</v>
      </c>
      <c r="C48" s="34" t="s">
        <v>31</v>
      </c>
      <c r="D48" s="82"/>
      <c r="E48" s="76" t="str">
        <f>IF(D48="","",IF(AND(D48&gt;=1,D48&lt;=5),"Pass","Fail"))</f>
        <v/>
      </c>
      <c r="G48" s="64" t="str">
        <f>IF(D48&lt;&gt;"",1,"")</f>
        <v/>
      </c>
    </row>
    <row r="49" spans="1:7" ht="15" customHeight="1" thickBot="1" x14ac:dyDescent="0.35">
      <c r="A49" s="77"/>
      <c r="B49" s="78"/>
      <c r="C49" s="34" t="s">
        <v>32</v>
      </c>
      <c r="D49" s="82"/>
      <c r="E49" s="76"/>
    </row>
    <row r="50" spans="1:7" ht="14.4" customHeight="1" thickBot="1" x14ac:dyDescent="0.35">
      <c r="A50" s="79"/>
      <c r="B50" s="80"/>
      <c r="C50" s="34" t="s">
        <v>33</v>
      </c>
      <c r="D50" s="82"/>
      <c r="E50" s="76" t="str">
        <f>IF(D50="","",IF(AND(D50&gt;=50,D50&lt;=56),"Pass","Fail"))</f>
        <v/>
      </c>
      <c r="G50" s="64" t="str">
        <f>IF(D50&lt;&gt;"",1,"")</f>
        <v/>
      </c>
    </row>
    <row r="51" spans="1:7" ht="15" customHeight="1" thickBot="1" x14ac:dyDescent="0.35">
      <c r="A51" s="79"/>
      <c r="B51" s="80"/>
      <c r="C51" s="34" t="s">
        <v>34</v>
      </c>
      <c r="D51" s="82"/>
      <c r="E51" s="76"/>
    </row>
    <row r="52" spans="1:7" ht="14.4" customHeight="1" thickBot="1" x14ac:dyDescent="0.35">
      <c r="A52" s="79"/>
      <c r="B52" s="80"/>
      <c r="C52" s="34" t="s">
        <v>35</v>
      </c>
      <c r="D52" s="82"/>
      <c r="E52" s="76" t="str">
        <f>IF(D52="","",IF(AND(D52&gt;=275,D52&lt;=710),"Pass","Fail"))</f>
        <v/>
      </c>
      <c r="G52" s="64" t="str">
        <f>IF(D52&lt;&gt;"",1,"")</f>
        <v/>
      </c>
    </row>
    <row r="53" spans="1:7" ht="15" customHeight="1" thickBot="1" x14ac:dyDescent="0.35">
      <c r="A53" s="79"/>
      <c r="B53" s="80"/>
      <c r="C53" s="34" t="s">
        <v>36</v>
      </c>
      <c r="D53" s="82"/>
      <c r="E53" s="76"/>
    </row>
    <row r="54" spans="1:7" ht="14.4" customHeight="1" thickBot="1" x14ac:dyDescent="0.35">
      <c r="A54" s="77"/>
      <c r="B54" s="78"/>
      <c r="C54" s="43" t="s">
        <v>37</v>
      </c>
      <c r="D54" s="82"/>
      <c r="E54" s="76" t="str">
        <f>IF(D54="","",IF(AND(D54&gt;=2950,D54&lt;=3000),"Pass","Fail"))</f>
        <v/>
      </c>
      <c r="G54" s="64" t="str">
        <f>IF(D54&lt;&gt;"",1,"")</f>
        <v/>
      </c>
    </row>
    <row r="55" spans="1:7" ht="15" customHeight="1" thickBot="1" x14ac:dyDescent="0.35">
      <c r="A55" s="77"/>
      <c r="B55" s="78"/>
      <c r="C55" s="34" t="s">
        <v>38</v>
      </c>
      <c r="D55" s="82"/>
      <c r="E55" s="76"/>
    </row>
    <row r="56" spans="1:7" ht="14.4" customHeight="1" thickBot="1" x14ac:dyDescent="0.35">
      <c r="A56" s="77"/>
      <c r="B56" s="78"/>
      <c r="C56" s="43" t="s">
        <v>39</v>
      </c>
      <c r="D56" s="82"/>
      <c r="E56" s="76" t="str">
        <f>IF(D56="","",IF(AND(D56&gt;=480,D56&lt;=590),"Pass","Fail"))</f>
        <v/>
      </c>
      <c r="G56" s="64" t="str">
        <f>IF(D56&lt;&gt;"",1,"")</f>
        <v/>
      </c>
    </row>
    <row r="57" spans="1:7" ht="15" customHeight="1" thickBot="1" x14ac:dyDescent="0.35">
      <c r="A57" s="77"/>
      <c r="B57" s="78"/>
      <c r="C57" s="34" t="s">
        <v>40</v>
      </c>
      <c r="D57" s="82"/>
      <c r="E57" s="76"/>
    </row>
    <row r="58" spans="1:7" ht="15" thickBot="1" x14ac:dyDescent="0.35">
      <c r="A58" s="35"/>
      <c r="B58" s="36"/>
      <c r="C58" s="34" t="s">
        <v>41</v>
      </c>
      <c r="D58" s="34"/>
      <c r="E58" s="61"/>
      <c r="G58" s="64" t="str">
        <f>IF(E58&lt;&gt;"",1,"")</f>
        <v/>
      </c>
    </row>
    <row r="59" spans="1:7" ht="25.8" thickBot="1" x14ac:dyDescent="0.35">
      <c r="A59" s="35"/>
      <c r="B59" s="36"/>
      <c r="C59" s="34" t="s">
        <v>42</v>
      </c>
      <c r="D59" s="34"/>
      <c r="E59" s="62"/>
      <c r="G59" s="64" t="str">
        <f>IF(E59&lt;&gt;"",1,"")</f>
        <v/>
      </c>
    </row>
    <row r="60" spans="1:7" ht="15" thickBot="1" x14ac:dyDescent="0.35">
      <c r="A60" s="37"/>
      <c r="B60" s="38"/>
      <c r="C60" s="38"/>
      <c r="D60" s="38"/>
      <c r="E60" s="39"/>
    </row>
    <row r="61" spans="1:7" ht="15" thickBot="1" x14ac:dyDescent="0.35">
      <c r="A61" s="33" t="s">
        <v>5</v>
      </c>
      <c r="B61" s="43" t="s">
        <v>6</v>
      </c>
      <c r="C61" s="43" t="s">
        <v>7</v>
      </c>
      <c r="D61" s="43"/>
      <c r="E61" s="44"/>
    </row>
    <row r="62" spans="1:7" ht="15.6" customHeight="1" x14ac:dyDescent="0.3">
      <c r="A62" s="77">
        <v>5</v>
      </c>
      <c r="B62" s="78" t="s">
        <v>43</v>
      </c>
      <c r="C62" s="34" t="s">
        <v>44</v>
      </c>
      <c r="D62" s="74">
        <v>4</v>
      </c>
      <c r="E62" s="81"/>
      <c r="G62" s="64">
        <f>IF(D62&lt;&gt;"",1,"")</f>
        <v>1</v>
      </c>
    </row>
    <row r="63" spans="1:7" ht="38.4" thickBot="1" x14ac:dyDescent="0.35">
      <c r="A63" s="77"/>
      <c r="B63" s="78"/>
      <c r="C63" s="43" t="s">
        <v>45</v>
      </c>
      <c r="D63" s="75"/>
      <c r="E63" s="81"/>
    </row>
    <row r="64" spans="1:7" ht="15" thickBot="1" x14ac:dyDescent="0.35">
      <c r="A64" s="35"/>
      <c r="B64" s="36"/>
      <c r="C64" s="34" t="s">
        <v>46</v>
      </c>
      <c r="D64" s="34"/>
      <c r="E64" s="63" t="s">
        <v>73</v>
      </c>
      <c r="G64" s="64">
        <f t="shared" ref="G64:G66" si="2">IF(E64&lt;&gt;"",1,"")</f>
        <v>1</v>
      </c>
    </row>
    <row r="65" spans="1:7" ht="15" thickBot="1" x14ac:dyDescent="0.35">
      <c r="A65" s="35"/>
      <c r="B65" s="36"/>
      <c r="C65" s="34" t="s">
        <v>47</v>
      </c>
      <c r="D65" s="34"/>
      <c r="E65" s="5" t="s">
        <v>73</v>
      </c>
      <c r="G65" s="64">
        <f t="shared" si="2"/>
        <v>1</v>
      </c>
    </row>
    <row r="66" spans="1:7" ht="15" thickBot="1" x14ac:dyDescent="0.35">
      <c r="A66" s="35"/>
      <c r="B66" s="36"/>
      <c r="C66" s="34" t="s">
        <v>48</v>
      </c>
      <c r="D66" s="34"/>
      <c r="E66" s="6" t="s">
        <v>73</v>
      </c>
      <c r="G66" s="64">
        <f t="shared" si="2"/>
        <v>1</v>
      </c>
    </row>
    <row r="67" spans="1:7" x14ac:dyDescent="0.3">
      <c r="A67" s="47"/>
      <c r="B67" s="48"/>
      <c r="C67" s="48"/>
      <c r="D67" s="48"/>
      <c r="E67" s="49"/>
    </row>
    <row r="68" spans="1:7" ht="15" thickBot="1" x14ac:dyDescent="0.35">
      <c r="A68" s="33" t="s">
        <v>5</v>
      </c>
      <c r="B68" s="43" t="s">
        <v>6</v>
      </c>
      <c r="C68" s="43" t="s">
        <v>7</v>
      </c>
      <c r="D68" s="43"/>
      <c r="E68" s="44"/>
    </row>
    <row r="69" spans="1:7" ht="15" thickBot="1" x14ac:dyDescent="0.35">
      <c r="A69" s="33">
        <v>6</v>
      </c>
      <c r="B69" s="34" t="s">
        <v>49</v>
      </c>
      <c r="C69" s="34" t="s">
        <v>50</v>
      </c>
      <c r="D69" s="34"/>
      <c r="E69" s="63" t="s">
        <v>73</v>
      </c>
      <c r="G69" s="64">
        <f t="shared" ref="G69:G72" si="3">IF(E69&lt;&gt;"",1,"")</f>
        <v>1</v>
      </c>
    </row>
    <row r="70" spans="1:7" ht="15" thickBot="1" x14ac:dyDescent="0.35">
      <c r="A70" s="35"/>
      <c r="B70" s="36"/>
      <c r="C70" s="34" t="s">
        <v>51</v>
      </c>
      <c r="D70" s="34"/>
      <c r="E70" s="5" t="s">
        <v>73</v>
      </c>
      <c r="G70" s="64">
        <f t="shared" si="3"/>
        <v>1</v>
      </c>
    </row>
    <row r="71" spans="1:7" ht="15" thickBot="1" x14ac:dyDescent="0.35">
      <c r="A71" s="35"/>
      <c r="B71" s="36"/>
      <c r="C71" s="34" t="s">
        <v>52</v>
      </c>
      <c r="D71" s="34"/>
      <c r="E71" s="5" t="s">
        <v>73</v>
      </c>
      <c r="G71" s="64">
        <f t="shared" si="3"/>
        <v>1</v>
      </c>
    </row>
    <row r="72" spans="1:7" ht="15" thickBot="1" x14ac:dyDescent="0.35">
      <c r="A72" s="35"/>
      <c r="B72" s="36"/>
      <c r="C72" s="34" t="s">
        <v>53</v>
      </c>
      <c r="D72" s="34"/>
      <c r="E72" s="6" t="s">
        <v>73</v>
      </c>
      <c r="G72" s="64">
        <f t="shared" si="3"/>
        <v>1</v>
      </c>
    </row>
    <row r="73" spans="1:7" x14ac:dyDescent="0.3">
      <c r="A73" s="47"/>
      <c r="B73" s="48"/>
      <c r="C73" s="48"/>
      <c r="D73" s="48"/>
      <c r="E73" s="49"/>
    </row>
    <row r="74" spans="1:7" ht="15" thickBot="1" x14ac:dyDescent="0.35">
      <c r="A74" s="33" t="s">
        <v>5</v>
      </c>
      <c r="B74" s="43" t="s">
        <v>6</v>
      </c>
      <c r="C74" s="43" t="s">
        <v>7</v>
      </c>
      <c r="D74" s="43"/>
      <c r="E74" s="44"/>
    </row>
    <row r="75" spans="1:7" ht="25.8" thickBot="1" x14ac:dyDescent="0.35">
      <c r="A75" s="33">
        <v>7</v>
      </c>
      <c r="B75" s="34" t="s">
        <v>54</v>
      </c>
      <c r="C75" s="34" t="s">
        <v>55</v>
      </c>
      <c r="D75" s="34"/>
      <c r="E75" s="5" t="s">
        <v>74</v>
      </c>
      <c r="G75" s="64">
        <f>IF(E75&lt;&gt;"",1,"")</f>
        <v>1</v>
      </c>
    </row>
    <row r="76" spans="1:7" ht="25.8" thickBot="1" x14ac:dyDescent="0.35">
      <c r="A76" s="33"/>
      <c r="B76" s="34" t="s">
        <v>56</v>
      </c>
      <c r="C76" s="34" t="s">
        <v>57</v>
      </c>
      <c r="D76" s="5">
        <v>1</v>
      </c>
      <c r="E76" s="45"/>
      <c r="G76" s="64">
        <f>IF(D76&lt;&gt;"",1,"")</f>
        <v>1</v>
      </c>
    </row>
    <row r="77" spans="1:7" ht="15" thickBot="1" x14ac:dyDescent="0.35">
      <c r="A77" s="33"/>
      <c r="B77" s="34" t="s">
        <v>69</v>
      </c>
      <c r="C77" s="34" t="s">
        <v>70</v>
      </c>
      <c r="D77" s="34"/>
      <c r="E77" s="5" t="s">
        <v>75</v>
      </c>
      <c r="G77" s="64">
        <f>IF(E77&lt;&gt;"",1,"")</f>
        <v>1</v>
      </c>
    </row>
    <row r="78" spans="1:7" x14ac:dyDescent="0.3">
      <c r="A78" s="33"/>
      <c r="B78" s="34"/>
      <c r="C78" s="34"/>
      <c r="D78" s="34"/>
      <c r="E78" s="45"/>
    </row>
    <row r="79" spans="1:7" ht="15" thickBot="1" x14ac:dyDescent="0.35">
      <c r="A79" s="50" t="s">
        <v>72</v>
      </c>
      <c r="B79" s="48"/>
      <c r="C79" s="48"/>
      <c r="D79" s="48"/>
      <c r="E79" s="49"/>
    </row>
    <row r="80" spans="1:7" x14ac:dyDescent="0.3">
      <c r="A80" s="83" t="s">
        <v>78</v>
      </c>
      <c r="B80" s="84"/>
      <c r="C80" s="85"/>
      <c r="D80" s="51"/>
      <c r="E80" s="52"/>
      <c r="G80" s="64">
        <f>SUM(G13:G79)</f>
        <v>29</v>
      </c>
    </row>
    <row r="81" spans="1:5" x14ac:dyDescent="0.3">
      <c r="A81" s="86"/>
      <c r="B81" s="87"/>
      <c r="C81" s="88"/>
      <c r="D81" s="51"/>
      <c r="E81" s="52"/>
    </row>
    <row r="82" spans="1:5" x14ac:dyDescent="0.3">
      <c r="A82" s="86"/>
      <c r="B82" s="87"/>
      <c r="C82" s="88"/>
      <c r="D82" s="51"/>
      <c r="E82" s="52"/>
    </row>
    <row r="83" spans="1:5" x14ac:dyDescent="0.3">
      <c r="A83" s="86"/>
      <c r="B83" s="87"/>
      <c r="C83" s="88"/>
      <c r="D83" s="51"/>
      <c r="E83" s="52"/>
    </row>
    <row r="84" spans="1:5" x14ac:dyDescent="0.3">
      <c r="A84" s="86"/>
      <c r="B84" s="87"/>
      <c r="C84" s="88"/>
      <c r="D84" s="51"/>
      <c r="E84" s="52"/>
    </row>
    <row r="85" spans="1:5" x14ac:dyDescent="0.3">
      <c r="A85" s="86"/>
      <c r="B85" s="87"/>
      <c r="C85" s="88"/>
      <c r="D85" s="51"/>
      <c r="E85" s="52"/>
    </row>
    <row r="86" spans="1:5" x14ac:dyDescent="0.3">
      <c r="A86" s="86"/>
      <c r="B86" s="87"/>
      <c r="C86" s="88"/>
      <c r="D86" s="51"/>
      <c r="E86" s="52"/>
    </row>
    <row r="87" spans="1:5" x14ac:dyDescent="0.3">
      <c r="A87" s="86"/>
      <c r="B87" s="87"/>
      <c r="C87" s="88"/>
      <c r="D87" s="51"/>
      <c r="E87" s="52"/>
    </row>
    <row r="88" spans="1:5" x14ac:dyDescent="0.3">
      <c r="A88" s="86"/>
      <c r="B88" s="87"/>
      <c r="C88" s="88"/>
      <c r="D88" s="51"/>
      <c r="E88" s="52"/>
    </row>
    <row r="89" spans="1:5" x14ac:dyDescent="0.3">
      <c r="A89" s="86"/>
      <c r="B89" s="87"/>
      <c r="C89" s="88"/>
      <c r="D89" s="51"/>
      <c r="E89" s="52"/>
    </row>
    <row r="90" spans="1:5" x14ac:dyDescent="0.3">
      <c r="A90" s="86"/>
      <c r="B90" s="87"/>
      <c r="C90" s="88"/>
      <c r="D90" s="51"/>
      <c r="E90" s="52"/>
    </row>
    <row r="91" spans="1:5" x14ac:dyDescent="0.3">
      <c r="A91" s="86"/>
      <c r="B91" s="87"/>
      <c r="C91" s="88"/>
      <c r="D91" s="51"/>
      <c r="E91" s="52"/>
    </row>
    <row r="92" spans="1:5" ht="15" thickBot="1" x14ac:dyDescent="0.35">
      <c r="A92" s="89"/>
      <c r="B92" s="90"/>
      <c r="C92" s="91"/>
      <c r="D92" s="53"/>
      <c r="E92" s="54"/>
    </row>
    <row r="93" spans="1:5" x14ac:dyDescent="0.3">
      <c r="A93" s="55"/>
      <c r="B93" s="56"/>
      <c r="C93" s="56"/>
      <c r="D93" s="56"/>
      <c r="E93" s="56"/>
    </row>
    <row r="94" spans="1:5" x14ac:dyDescent="0.3">
      <c r="A94" s="57"/>
      <c r="B94" s="57"/>
      <c r="C94" s="57"/>
      <c r="D94" s="57"/>
      <c r="E94" s="57"/>
    </row>
    <row r="95" spans="1:5" x14ac:dyDescent="0.3">
      <c r="A95" s="57"/>
      <c r="B95" s="57"/>
      <c r="C95" s="57"/>
      <c r="D95" s="57"/>
      <c r="E95" s="57"/>
    </row>
    <row r="96" spans="1:5" x14ac:dyDescent="0.3">
      <c r="A96" s="57"/>
      <c r="B96" s="57"/>
      <c r="C96" s="57"/>
      <c r="D96" s="57"/>
      <c r="E96" s="57"/>
    </row>
    <row r="97" spans="1:5" x14ac:dyDescent="0.3">
      <c r="A97" s="55"/>
      <c r="B97" s="58"/>
      <c r="C97" s="58"/>
      <c r="D97" s="58"/>
      <c r="E97" s="58"/>
    </row>
    <row r="98" spans="1:5" x14ac:dyDescent="0.3">
      <c r="A98" s="59"/>
    </row>
    <row r="99" spans="1:5" x14ac:dyDescent="0.3">
      <c r="A99" s="59"/>
    </row>
    <row r="100" spans="1:5" x14ac:dyDescent="0.3">
      <c r="A100" s="59"/>
    </row>
    <row r="101" spans="1:5" x14ac:dyDescent="0.3">
      <c r="A101" s="60"/>
    </row>
  </sheetData>
  <sheetProtection algorithmName="SHA-512" hashValue="RLjfgZWkEtOL4oWR7Jwj3RESYPrAOtr/tZmz0JJaP1EZgi+Gilin16lArhY62be9ZyzyAJE03kkn+2xQHmaByw==" saltValue="cBMttOlPHuP3FcZhQVz/+g==" spinCount="100000" sheet="1" selectLockedCells="1"/>
  <mergeCells count="42">
    <mergeCell ref="E56:E57"/>
    <mergeCell ref="D62:D63"/>
    <mergeCell ref="E62:E63"/>
    <mergeCell ref="A80:C92"/>
    <mergeCell ref="A62:A63"/>
    <mergeCell ref="B62:B63"/>
    <mergeCell ref="A56:A57"/>
    <mergeCell ref="B56:B57"/>
    <mergeCell ref="D56:D57"/>
    <mergeCell ref="E48:E49"/>
    <mergeCell ref="D50:D51"/>
    <mergeCell ref="E50:E51"/>
    <mergeCell ref="A54:A55"/>
    <mergeCell ref="B54:B55"/>
    <mergeCell ref="A52:A53"/>
    <mergeCell ref="B52:B53"/>
    <mergeCell ref="D52:D53"/>
    <mergeCell ref="E52:E53"/>
    <mergeCell ref="D54:D55"/>
    <mergeCell ref="E54:E55"/>
    <mergeCell ref="A50:A51"/>
    <mergeCell ref="B50:B51"/>
    <mergeCell ref="A48:A49"/>
    <mergeCell ref="B48:B49"/>
    <mergeCell ref="D48:D49"/>
    <mergeCell ref="D36:D37"/>
    <mergeCell ref="E36:E37"/>
    <mergeCell ref="A42:A43"/>
    <mergeCell ref="B42:B43"/>
    <mergeCell ref="A40:A41"/>
    <mergeCell ref="B40:B41"/>
    <mergeCell ref="D40:D41"/>
    <mergeCell ref="E40:E41"/>
    <mergeCell ref="D42:D43"/>
    <mergeCell ref="E42:E43"/>
    <mergeCell ref="A36:A37"/>
    <mergeCell ref="B36:B37"/>
    <mergeCell ref="A6:C7"/>
    <mergeCell ref="A8:B8"/>
    <mergeCell ref="A10:C10"/>
    <mergeCell ref="A14:B16"/>
    <mergeCell ref="C15:C16"/>
  </mergeCells>
  <conditionalFormatting sqref="E1:E1048576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7">
    <dataValidation type="list" allowBlank="1" showInputMessage="1" showErrorMessage="1" sqref="B13" xr:uid="{9FC84DF3-BE3A-4C02-82D7-89AFB48F19A6}">
      <formula1>"Day, Evening, Night"</formula1>
    </dataValidation>
    <dataValidation type="date" operator="greaterThan" allowBlank="1" showInputMessage="1" showErrorMessage="1" sqref="A13" xr:uid="{30EAB0A5-5FDD-4E8E-932F-13B4288F7365}">
      <formula1>1</formula1>
    </dataValidation>
    <dataValidation type="list" allowBlank="1" showInputMessage="1" showErrorMessage="1" sqref="E20:E26 E30:E31 E44 E58:E59 E64:E66 E69:E72 E38" xr:uid="{2BAD0E17-B963-4F54-BFEE-600FC1AEAA28}">
      <formula1>"Pass, Fail"</formula1>
    </dataValidation>
    <dataValidation type="whole" allowBlank="1" showInputMessage="1" showErrorMessage="1" sqref="E32" xr:uid="{C349CE35-1983-4D64-87AF-978F30D2C061}">
      <formula1>0</formula1>
      <formula2>200</formula2>
    </dataValidation>
    <dataValidation type="list" allowBlank="1" showInputMessage="1" showErrorMessage="1" sqref="E75" xr:uid="{C6B704FA-E44C-4099-99B0-BC1229219A82}">
      <formula1>"Done"</formula1>
    </dataValidation>
    <dataValidation type="decimal" operator="greaterThanOrEqual" allowBlank="1" showInputMessage="1" showErrorMessage="1" sqref="D76:D78 D62:D63 D48:D57" xr:uid="{58C7FAB8-5543-4680-8242-D6613113C4C3}">
      <formula1>0</formula1>
    </dataValidation>
    <dataValidation type="list" allowBlank="1" showInputMessage="1" showErrorMessage="1" sqref="E77" xr:uid="{C95B4AE5-57E9-45DD-B43E-D69DF7856D36}">
      <formula1>"Yes, No"</formula1>
    </dataValidation>
  </dataValidations>
  <pageMargins left="0.7" right="0.7" top="0.75" bottom="0.75" header="0.3" footer="0.3"/>
  <pageSetup orientation="portrait" r:id="rId1"/>
  <ignoredErrors>
    <ignoredError sqref="G76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SubmitChecklist">
                <anchor moveWithCells="1" sizeWithCells="1">
                  <from>
                    <xdr:col>0</xdr:col>
                    <xdr:colOff>2430780</xdr:colOff>
                    <xdr:row>93</xdr:row>
                    <xdr:rowOff>182880</xdr:rowOff>
                  </from>
                  <to>
                    <xdr:col>1</xdr:col>
                    <xdr:colOff>1638300</xdr:colOff>
                    <xdr:row>95</xdr:row>
                    <xdr:rowOff>175260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C2758-F0EF-4DD0-886E-77CEDF40BF85}">
          <x14:formula1>
            <xm:f>Sheet2!$B$2:$B$5</xm:f>
          </x14:formula1>
          <xm:sqref>A18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1E3E-410D-44C1-8845-B2BBCCD0D002}">
  <sheetPr codeName="Sheet1"/>
  <dimension ref="B1:D5"/>
  <sheetViews>
    <sheetView workbookViewId="0">
      <selection activeCell="D12" sqref="D12"/>
    </sheetView>
  </sheetViews>
  <sheetFormatPr defaultRowHeight="14.4" x14ac:dyDescent="0.3"/>
  <cols>
    <col min="2" max="2" width="11.44140625" bestFit="1" customWidth="1"/>
    <col min="3" max="3" width="10.33203125" bestFit="1" customWidth="1"/>
    <col min="4" max="4" width="10.6640625" bestFit="1" customWidth="1"/>
  </cols>
  <sheetData>
    <row r="1" spans="2:4" x14ac:dyDescent="0.3">
      <c r="B1" t="s">
        <v>71</v>
      </c>
      <c r="C1" t="s">
        <v>64</v>
      </c>
      <c r="D1" t="s">
        <v>65</v>
      </c>
    </row>
    <row r="2" spans="2:4" x14ac:dyDescent="0.3">
      <c r="B2" t="s">
        <v>4</v>
      </c>
      <c r="D2">
        <v>160000044</v>
      </c>
    </row>
    <row r="3" spans="2:4" x14ac:dyDescent="0.3">
      <c r="B3" t="s">
        <v>60</v>
      </c>
      <c r="D3">
        <v>160000047</v>
      </c>
    </row>
    <row r="4" spans="2:4" x14ac:dyDescent="0.3">
      <c r="B4" t="s">
        <v>61</v>
      </c>
      <c r="D4">
        <v>160000050</v>
      </c>
    </row>
    <row r="5" spans="2:4" x14ac:dyDescent="0.3">
      <c r="B5" t="s">
        <v>62</v>
      </c>
      <c r="D5">
        <v>160000053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180A_PO001</vt:lpstr>
      <vt:lpstr>Sheet2</vt:lpstr>
      <vt:lpstr>'180A_PO001'!Print_Area</vt:lpstr>
    </vt:vector>
  </TitlesOfParts>
  <Company>Aqualectra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Dzmitry Salavei</dc:creator>
  <cp:lastModifiedBy>Dzmitry Salavei</cp:lastModifiedBy>
  <cp:lastPrinted>2026-02-20T21:05:18Z</cp:lastPrinted>
  <dcterms:created xsi:type="dcterms:W3CDTF">2026-02-16T22:44:25Z</dcterms:created>
  <dcterms:modified xsi:type="dcterms:W3CDTF">2026-02-26T08:21:57Z</dcterms:modified>
</cp:coreProperties>
</file>